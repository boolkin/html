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0230B3DB-D266-4122-BB68-EEF92B5BDC6A}" xr6:coauthVersionLast="47" xr6:coauthVersionMax="47" xr10:uidLastSave="{00000000-0000-0000-0000-000000000000}"/>
  <bookViews>
    <workbookView xWindow="-120" yWindow="-120" windowWidth="29040" windowHeight="15840" xr2:uid="{00000000-000D-0000-FFFF-FFFF00000000}"/>
  </bookViews>
  <sheets>
    <sheet name="tetris" sheetId="4" r:id="rId1"/>
    <sheet name="MM" sheetId="3" r:id="rId2"/>
    <sheet name="Танки"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4" l="1"/>
  <c r="K11" i="4" s="1"/>
  <c r="J10" i="4"/>
  <c r="K10" i="4" s="1"/>
  <c r="J9" i="4"/>
  <c r="K9" i="4" s="1"/>
  <c r="J8" i="4"/>
  <c r="K8" i="4" s="1"/>
  <c r="J7" i="4"/>
  <c r="K7" i="4" s="1"/>
  <c r="J6" i="4"/>
  <c r="K6" i="4" s="1"/>
  <c r="J5" i="4"/>
  <c r="K5" i="4" s="1"/>
  <c r="J4" i="4"/>
  <c r="K4" i="4" s="1"/>
  <c r="J3" i="4"/>
  <c r="K3" i="4" s="1"/>
  <c r="L11" i="3"/>
  <c r="M11" i="3" s="1"/>
  <c r="M10" i="3"/>
  <c r="M9" i="3"/>
  <c r="M8" i="3"/>
  <c r="M7" i="3"/>
  <c r="L6" i="3"/>
  <c r="M6" i="3" s="1"/>
  <c r="K5" i="3"/>
  <c r="M5" i="3" s="1"/>
  <c r="K4" i="3"/>
  <c r="M4" i="3" s="1"/>
  <c r="K3" i="3"/>
  <c r="M3" i="3" s="1"/>
  <c r="K11" i="2"/>
  <c r="J10" i="2"/>
  <c r="K10" i="2" s="1"/>
  <c r="J9" i="2"/>
  <c r="K9" i="2" s="1"/>
  <c r="J8" i="2"/>
  <c r="K8" i="2" s="1"/>
  <c r="J7" i="2"/>
  <c r="K7" i="2" s="1"/>
  <c r="K6" i="2"/>
  <c r="J6" i="2"/>
  <c r="I6" i="2"/>
  <c r="J5" i="2"/>
  <c r="K5" i="2" s="1"/>
  <c r="J4" i="2"/>
  <c r="K4" i="2" s="1"/>
  <c r="J3" i="2"/>
  <c r="K3" i="2" s="1"/>
</calcChain>
</file>

<file path=xl/sharedStrings.xml><?xml version="1.0" encoding="utf-8"?>
<sst xmlns="http://schemas.openxmlformats.org/spreadsheetml/2006/main" count="221" uniqueCount="119">
  <si>
    <t>Agents</t>
  </si>
  <si>
    <t>Frontis</t>
  </si>
  <si>
    <t>GLM</t>
  </si>
  <si>
    <t>Gemma</t>
  </si>
  <si>
    <t>KAT</t>
  </si>
  <si>
    <t>Ornith</t>
  </si>
  <si>
    <t>Qwen</t>
  </si>
  <si>
    <t>Salience</t>
  </si>
  <si>
    <t>Мобильный вид</t>
  </si>
  <si>
    <t>Играбельность</t>
  </si>
  <si>
    <t xml:space="preserve">Проблемы с выравниванием попыток, медленный интерфейс, серые круги (не видно какой цвет выбран в текущей попытке). </t>
  </si>
  <si>
    <t>Соотвествие ТЗ</t>
  </si>
  <si>
    <t>огромные круги, панель управления занимает половину высоты, кнопки убрать и проверить на новой строке</t>
  </si>
  <si>
    <t>Прилипание + сортировка + нумерация + панель управления +</t>
  </si>
  <si>
    <t>Прилипание + сортировка + нумерация + панель управления -</t>
  </si>
  <si>
    <t>Красивость</t>
  </si>
  <si>
    <t>белый</t>
  </si>
  <si>
    <t>Прилипание + сортировка - нумерация + панель управления -</t>
  </si>
  <si>
    <t>белый, простецкий вид</t>
  </si>
  <si>
    <t>темный, стильный</t>
  </si>
  <si>
    <t>Прилипание + сортировка+ нумерация + панель управления +</t>
  </si>
  <si>
    <t>огромные круги, панель управления занимает половину высоты, кнопки убрать и проверить на новой строке, сортировка не правильная, выравнивание попыток скачет (нет выравнивания)</t>
  </si>
  <si>
    <t>5+</t>
  </si>
  <si>
    <t>4+</t>
  </si>
  <si>
    <t>Масштаб сразу+ стильные круги+ пеги показывают место -</t>
  </si>
  <si>
    <t>пеги показывают место, новая игра не на новой строке</t>
  </si>
  <si>
    <t>Прилипание + сортировка+ нумерация + панель управления -</t>
  </si>
  <si>
    <t>темный, стильно</t>
  </si>
  <si>
    <t>Масштаб сразу+</t>
  </si>
  <si>
    <t xml:space="preserve">Масштаб сразу+ стильные круги+  </t>
  </si>
  <si>
    <t>Мобильная игра</t>
  </si>
  <si>
    <t>нет</t>
  </si>
  <si>
    <t xml:space="preserve">есть + </t>
  </si>
  <si>
    <t>Современно, подсветка падения фигуры</t>
  </si>
  <si>
    <t>Замечания/примечания</t>
  </si>
  <si>
    <t>очень простой вид</t>
  </si>
  <si>
    <t>простой вид, но в мобильном кнопки управления интереснее, масштабирование норм</t>
  </si>
  <si>
    <t>Понятный посчет очков, нет дропа фигур</t>
  </si>
  <si>
    <t>подсчет очков странный. Нет дропа в пк версии в мобильном есть, линии считаются</t>
  </si>
  <si>
    <t>Лучше мобильное управление чем у некоторых, но нет дропа, понятный подсчет очков</t>
  </si>
  <si>
    <t>понятный посчет очков и линий (за тетрис больше), нет дропа</t>
  </si>
  <si>
    <t>подсчет очков странный , линии считаются, есть дроп</t>
  </si>
  <si>
    <t>! Нефиксируются фигуры при дропе, после снятия слоя нужно тоже жать пробел чтобы пошла фигура. Явняй глюк. Есть рекорды +, но очки опять не понятно для меня. Линии считаются</t>
  </si>
  <si>
    <t>есть + , немного путанное…</t>
  </si>
  <si>
    <t>счет непонятный, линии считаются, есть дроп</t>
  </si>
  <si>
    <t>счет понятный, линии считаются, глюк с дропом - перезапуск игры вместо роняния</t>
  </si>
  <si>
    <t>есть</t>
  </si>
  <si>
    <t>есть+</t>
  </si>
  <si>
    <t>танки стильные, нравятся, кирпичи стильные, есьт река, броня</t>
  </si>
  <si>
    <t>проезжает сквозь кирпичи и всего остального</t>
  </si>
  <si>
    <t>есть-</t>
  </si>
  <si>
    <t xml:space="preserve">Враги только поверху ездят, бывает уезжают тоже за экран, масштаб 50-65%. В мобильном не работает огонь-. </t>
  </si>
  <si>
    <t>противники выезжают за края-, танки могут проезжать частично сквозь кирпичи, иногда застревают, на мобильном масштаб 65%</t>
  </si>
  <si>
    <t>масштаб 80%</t>
  </si>
  <si>
    <t xml:space="preserve">Стиля нет, танки простецкие, меняют размеры при повороте, есть звуки+, нет штаба, мешанина из кирпичей, брони нет </t>
  </si>
  <si>
    <t>Стиль интересный, компоновка классическая при этом из простых фигур, танки цветные, что тоже интересно, выглядят как танки</t>
  </si>
  <si>
    <t>есть --</t>
  </si>
  <si>
    <t>Единичный экземпляр, другие запросы модели не удались также, и более того не удались почти совсем. При этом даже эта игра на мобильном совсем не играбельная - управление глючит.</t>
  </si>
  <si>
    <t>Очень стильно, несколько уровней и уровней сложности при старте (на выбор 4 кнопки при старте), реки, трава, кирпичи, броня, бонусы!!! Танки стильные, звуки. Очень и очень круто</t>
  </si>
  <si>
    <t>Очень сложно играть но тем интереснее, 3 жизни. Кнопка старт игры не исчезает и перекрывает часть игрового поля. 100% масштаб (+?)</t>
  </si>
  <si>
    <t>Тоже довольно стильно, но танки больше размером чем кирпичи.. Впрочем это тоже инетересно. Есть звуки, реки, трава. уровни генерируются рандомно+</t>
  </si>
  <si>
    <t>Стиль минималистичный, простейшие фигуры, но есть в этом свой шарм. в целом просто и со в кусом</t>
  </si>
  <si>
    <t>Сами танки просто квадраты огромные, кирпичи (сомнительный дизайн), броня, нет штаба</t>
  </si>
  <si>
    <t>иногда генерируется так что штаб без защиты, впрочем это тоже вряд ли минус. В целом не могу придумать минусы, только придирки. Интересно так что можно на паузу поставить (+?)</t>
  </si>
  <si>
    <t>есть---</t>
  </si>
  <si>
    <t>кирпичи зеленка, но вцелом неиграбельное нечто</t>
  </si>
  <si>
    <t>не играется вообще - что-то как-то управляется, но ни такнка ни врагов не видно… --</t>
  </si>
  <si>
    <t>https://huggingface.co/FrontisAI/Frontis-MA1-35B-GGUF</t>
  </si>
  <si>
    <t>Кол-во запросов</t>
  </si>
  <si>
    <t>Ссылка</t>
  </si>
  <si>
    <t>т/с</t>
  </si>
  <si>
    <t>https://huggingface.co/InternScience/Agents-A1-Q4_K_M-GGUF</t>
  </si>
  <si>
    <t>Вторым запросом исправил размер шаров в панели управления и "прилипание", не исправил серый цвет в попытке</t>
  </si>
  <si>
    <t>https://huggingface.co/mradermacher/Salience-1.5-Pro-GGUF</t>
  </si>
  <si>
    <t>https://huggingface.co/unsloth/Ornith-1.0-35B-GGUF</t>
  </si>
  <si>
    <t>https://huggingface.co/unsloth/Qwen3.6-35B-A3B-MTP-GGUF</t>
  </si>
  <si>
    <t>https://huggingface.co/bartowski/Kwaipilot_KAT-Coder-V2.5-Dev-GGUF</t>
  </si>
  <si>
    <t>https://huggingface.co/unsloth/GLM-4.7-Flash-GGUF</t>
  </si>
  <si>
    <t>Были нарекания к сортировке истории и нумерации попыток при том что один из предыдущих разов с первого раза по тз почти (было нарекание по прилипанию), поэтомя я решил доделать, появились номера, но сортировка страдает</t>
  </si>
  <si>
    <t>Первый запрос игра играется, но есть огрехи с нажатием кнопки и "прилипанием" истории, вторым исправил это</t>
  </si>
  <si>
    <t>https://huggingface.co/unsloth/gemma-4-26B-A4B-it-GGUF</t>
  </si>
  <si>
    <t>На самом деле 2, так как первый не рисовал падающие фигуры</t>
  </si>
  <si>
    <t>На самом деле 2 потому что самый первый я остановил - я увидел что он начал тупо писать код в раздумиях</t>
  </si>
  <si>
    <t>тетрис с первого раза, но как-то глючно, не стал просить исправлять</t>
  </si>
  <si>
    <t>По сути с третьего раза, первый глючный, и не смог его исправить нормально, поэтому начал третий заново</t>
  </si>
  <si>
    <t>Тоже со второго раза, первый раз не играбельная совсем.  кнопку играть жмешь на заставке и ничего не происходит</t>
  </si>
  <si>
    <t>с первого раза</t>
  </si>
  <si>
    <t>В этот раз сгенерировал с первого раза ( почему говорю в этот раз, потому что пару дней назад это было со второго раза, но в той игре был классный звук зато, хотя и вид такой же простецкий немного, там заставка не исчезала после начала игры, вторым запросом испраился)</t>
  </si>
  <si>
    <t>Танки - прям видно что китайская нейросеть - думала и писала по-китайски, в игре все подсказки и слова на китайском (вряд ли даже минус)</t>
  </si>
  <si>
    <t>Первый раз сгенерировал неиграбельную игру, танки не ездили, мой танк при выстреле сразу геймовер потому что спавнился на базе и пуля уничтожала базу. Вторым запросом починил косяки. перестраховался и своей пулей не могу уничтожить штаб</t>
  </si>
  <si>
    <t>Первая попытка и ее исправление не удались. Вторая + исправления в итоге</t>
  </si>
  <si>
    <t>С первого раза отлично, впечатлился. Но для чистоты эксперимента запустил генерации еще, и 2 другие были не играбельны…</t>
  </si>
  <si>
    <t>Танки получились не играбельными хотя очень навороченные поидее - там анимации, трава, вода, броня, танк проезжает сквозь все препятствия а ощющение будто бы поле недорисовано - есть бонусы, бомбы и прочее, врагов не увидел. Играть не возможно, хотя по размеру и задумке навероченное что-то. Вторым запросом сделал тоже не играбельную игру</t>
  </si>
  <si>
    <t>GPT-oss</t>
  </si>
  <si>
    <t>https://huggingface.co/unsloth/gpt-oss-20b-GGUF</t>
  </si>
  <si>
    <t>35B-A3B</t>
  </si>
  <si>
    <t>21B-A3.6B</t>
  </si>
  <si>
    <t>Примечание к модели</t>
  </si>
  <si>
    <t>Пояснение</t>
  </si>
  <si>
    <t>35B-A3B (На базе Qwen 3.6)</t>
  </si>
  <si>
    <t>35B-A3B на базе Qwen 3.5(?)</t>
  </si>
  <si>
    <t>35B-A3B (MTP версия)</t>
  </si>
  <si>
    <t>30B-A3B</t>
  </si>
  <si>
    <t>26B-A4B (+MTP)</t>
  </si>
  <si>
    <t>Токены</t>
  </si>
  <si>
    <t>Время, сек</t>
  </si>
  <si>
    <t>Название</t>
  </si>
  <si>
    <t>Не танки</t>
  </si>
  <si>
    <t>первый менее интересный поэтому перегенерировал, но конечно таки с большой натяжкой, но как-то играть и очки нарабатывать можно</t>
  </si>
  <si>
    <t>играть на пк можно</t>
  </si>
  <si>
    <t>светлый, простой</t>
  </si>
  <si>
    <t>Прилипание + сортировка- нумерация - панель управления -</t>
  </si>
  <si>
    <t>MM первый не рабочий, второй норм, в базу сойдет. Учитывая древность отдать должное старости. Не догадался попросить поправить под ТЗ чтобы добиться лучших результатов, но думаю и нет смысла</t>
  </si>
  <si>
    <t>Тетрис с первого раза, но с глючками. не уверен что стоит заморачиваться исправлять</t>
  </si>
  <si>
    <t>Супер простой вид</t>
  </si>
  <si>
    <t>При повороте вигуры деформируются, палка превращается в точку. Но очки считаются. Худо-бедно играбельно</t>
  </si>
  <si>
    <t>Промпт для всех моделей: 
"напиши игру тетрис на html, css, js одной страницей"</t>
  </si>
  <si>
    <t>Промпт для всех моделей: 
"Write a game similar to Battle City in a single HTML file without dependencies, running on desktop and mobile"</t>
  </si>
  <si>
    <t>Промпт для всех моделей:
"Нужно разработать игру mastermind на html, css и js с простым адаптивным дизайном для удобного игрового процесса на мобильном устройстве.
Задача игрока угадать последовательность из 4 цветов (цвета могут повторяться в последовательности).
Игра визуально состоит из блоков:
1. игровое поле, где хранится история попыток с отображением результата
2. ниже блок с текущей попыткой
3. в самом низу панель управления.
Сверху игровое поле, под ним блок с текщей попыткой и в самом низу панель управления (в нижней части экрана).
Панель управления состоит из блока с 6 разноцветными кругами (конфигурация 3+3 в две строки) и справа от блока с цветами будет блок из 2 кнопок ("проверить" и "убрать". распологаются друг под другом) в самом низу должна быть кнопка "новая игра".
По клику на каждый круг этот цвет должен наполнять текущую попытку (блок текущей попытки), заполняя игровую зону последовательно друг за другом, что означает что если щелкнул например красный круг первым, то он встает в угадываемую последовательность на первое место. Следующий синий, и он встает на вторую позицию. Если нажать на кнопку "убрать", то из текущей попытки убирается последний добавленный цвет. После заполенения 4 цветов нажимается кнопка "проверить" после чего вся последовательность перемещается в игровое поле с номером попытки и результатом в виде черных и белых кружков указывающие на соответствие цветов в угадываемой последовательности (черный - цвет на своем месте, белый - цвет есть, но не на своем месте). При этом очищается поле с текущей попыткой. Угадываемые последовательности цветов в игровой зоне (в истории) нужно заполнять снизу вверх: это означает что последняя угадываемая последовательность цветов должна находиться всегда внизу, и обязательно прикреплена к нижнему краю игрового поля (выравнивание по низу внутри игрового поля). Попытки пронумеровать и расположить так чтобы первая была вверху, последняя внизу. (например было 3 попытки соответственно вверху первая, ниже вторая, еще ниже третья - все три прилипают к нижнему блоку с текущей попыткой). При угадывании выдавать сообщение с количеством попыток и просмотром правильной комбинации Нужно использовать только javascript html и css - все в одном файле чтобы запустить локально."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</si>
</sst>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
  </numFmts>
  <fonts count="3" x14ac:knownFonts="1">
    <font>
      <sz val="11"/>
      <color theme="1"/>
      <name val="Calibri"/>
      <family val="2"/>
      <scheme val="minor"/>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2" fillId="0" borderId="1" xfId="2" applyBorder="1" applyAlignment="1">
      <alignment wrapText="1"/>
    </xf>
    <xf numFmtId="165" fontId="0" fillId="0" borderId="1" xfId="0" applyNumberFormat="1" applyBorder="1"/>
    <xf numFmtId="0" fontId="0" fillId="2" borderId="1" xfId="0" applyFill="1" applyBorder="1"/>
    <xf numFmtId="0" fontId="0" fillId="2" borderId="1" xfId="0" applyFill="1" applyBorder="1" applyAlignment="1">
      <alignment wrapText="1"/>
    </xf>
    <xf numFmtId="1" fontId="0" fillId="0" borderId="1" xfId="0" applyNumberFormat="1" applyBorder="1"/>
    <xf numFmtId="1" fontId="0" fillId="0" borderId="1" xfId="0" applyNumberFormat="1" applyBorder="1" applyAlignment="1">
      <alignment wrapText="1"/>
    </xf>
    <xf numFmtId="1" fontId="0" fillId="0" borderId="1" xfId="1" applyNumberFormat="1" applyFont="1" applyBorder="1"/>
    <xf numFmtId="165" fontId="0" fillId="0" borderId="1" xfId="0" applyNumberFormat="1" applyBorder="1" applyAlignment="1">
      <alignment wrapText="1"/>
    </xf>
    <xf numFmtId="0" fontId="0" fillId="0" borderId="2" xfId="0" applyBorder="1" applyAlignment="1">
      <alignment horizontal="left" wrapText="1"/>
    </xf>
    <xf numFmtId="0" fontId="0" fillId="0" borderId="2" xfId="0" applyBorder="1" applyAlignment="1">
      <alignment horizontal="lef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uggingface.co/unsloth/gemma-4-26B-A4B-it-GGUF" TargetMode="External"/><Relationship Id="rId3" Type="http://schemas.openxmlformats.org/officeDocument/2006/relationships/hyperlink" Target="https://huggingface.co/mradermacher/Salience-1.5-Pro-GGUF" TargetMode="External"/><Relationship Id="rId7" Type="http://schemas.openxmlformats.org/officeDocument/2006/relationships/hyperlink" Target="https://huggingface.co/unsloth/GLM-4.7-Flash-GGUF" TargetMode="External"/><Relationship Id="rId2" Type="http://schemas.openxmlformats.org/officeDocument/2006/relationships/hyperlink" Target="https://huggingface.co/InternScience/Agents-A1-Q4_K_M-GGUF" TargetMode="External"/><Relationship Id="rId1" Type="http://schemas.openxmlformats.org/officeDocument/2006/relationships/hyperlink" Target="https://huggingface.co/FrontisAI/Frontis-MA1-35B-GGUF" TargetMode="External"/><Relationship Id="rId6" Type="http://schemas.openxmlformats.org/officeDocument/2006/relationships/hyperlink" Target="https://huggingface.co/bartowski/Kwaipilot_KAT-Coder-V2.5-Dev-GGUF" TargetMode="External"/><Relationship Id="rId5" Type="http://schemas.openxmlformats.org/officeDocument/2006/relationships/hyperlink" Target="https://huggingface.co/unsloth/Qwen3.6-35B-A3B-MTP-GGUF" TargetMode="External"/><Relationship Id="rId10" Type="http://schemas.openxmlformats.org/officeDocument/2006/relationships/printerSettings" Target="../printerSettings/printerSettings1.bin"/><Relationship Id="rId4" Type="http://schemas.openxmlformats.org/officeDocument/2006/relationships/hyperlink" Target="https://huggingface.co/unsloth/Ornith-1.0-35B-GGUF" TargetMode="External"/><Relationship Id="rId9" Type="http://schemas.openxmlformats.org/officeDocument/2006/relationships/hyperlink" Target="https://huggingface.co/unsloth/gpt-oss-20b-GGU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uggingface.co/unsloth/gemma-4-26B-A4B-it-GGUF" TargetMode="External"/><Relationship Id="rId3" Type="http://schemas.openxmlformats.org/officeDocument/2006/relationships/hyperlink" Target="https://huggingface.co/mradermacher/Salience-1.5-Pro-GGUF" TargetMode="External"/><Relationship Id="rId7" Type="http://schemas.openxmlformats.org/officeDocument/2006/relationships/hyperlink" Target="https://huggingface.co/unsloth/GLM-4.7-Flash-GGUF" TargetMode="External"/><Relationship Id="rId2" Type="http://schemas.openxmlformats.org/officeDocument/2006/relationships/hyperlink" Target="https://huggingface.co/InternScience/Agents-A1-Q4_K_M-GGUF" TargetMode="External"/><Relationship Id="rId1" Type="http://schemas.openxmlformats.org/officeDocument/2006/relationships/hyperlink" Target="https://huggingface.co/FrontisAI/Frontis-MA1-35B-GGUF" TargetMode="External"/><Relationship Id="rId6" Type="http://schemas.openxmlformats.org/officeDocument/2006/relationships/hyperlink" Target="https://huggingface.co/bartowski/Kwaipilot_KAT-Coder-V2.5-Dev-GGUF" TargetMode="External"/><Relationship Id="rId5" Type="http://schemas.openxmlformats.org/officeDocument/2006/relationships/hyperlink" Target="https://huggingface.co/unsloth/Qwen3.6-35B-A3B-MTP-GGUF" TargetMode="External"/><Relationship Id="rId4" Type="http://schemas.openxmlformats.org/officeDocument/2006/relationships/hyperlink" Target="https://huggingface.co/unsloth/Ornith-1.0-35B-GGUF" TargetMode="External"/><Relationship Id="rId9" Type="http://schemas.openxmlformats.org/officeDocument/2006/relationships/hyperlink" Target="https://huggingface.co/unsloth/gpt-oss-20b-GGU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uggingface.co/unsloth/gemma-4-26B-A4B-it-GGUF" TargetMode="External"/><Relationship Id="rId3" Type="http://schemas.openxmlformats.org/officeDocument/2006/relationships/hyperlink" Target="https://huggingface.co/mradermacher/Salience-1.5-Pro-GGUF" TargetMode="External"/><Relationship Id="rId7" Type="http://schemas.openxmlformats.org/officeDocument/2006/relationships/hyperlink" Target="https://huggingface.co/unsloth/GLM-4.7-Flash-GGUF" TargetMode="External"/><Relationship Id="rId2" Type="http://schemas.openxmlformats.org/officeDocument/2006/relationships/hyperlink" Target="https://huggingface.co/InternScience/Agents-A1-Q4_K_M-GGUF" TargetMode="External"/><Relationship Id="rId1" Type="http://schemas.openxmlformats.org/officeDocument/2006/relationships/hyperlink" Target="https://huggingface.co/FrontisAI/Frontis-MA1-35B-GGUF" TargetMode="External"/><Relationship Id="rId6" Type="http://schemas.openxmlformats.org/officeDocument/2006/relationships/hyperlink" Target="https://huggingface.co/bartowski/Kwaipilot_KAT-Coder-V2.5-Dev-GGUF" TargetMode="External"/><Relationship Id="rId5" Type="http://schemas.openxmlformats.org/officeDocument/2006/relationships/hyperlink" Target="https://huggingface.co/unsloth/Qwen3.6-35B-A3B-MTP-GGUF" TargetMode="External"/><Relationship Id="rId4" Type="http://schemas.openxmlformats.org/officeDocument/2006/relationships/hyperlink" Target="https://huggingface.co/unsloth/Ornith-1.0-35B-GGUF" TargetMode="External"/><Relationship Id="rId9" Type="http://schemas.openxmlformats.org/officeDocument/2006/relationships/hyperlink" Target="https://huggingface.co/unsloth/gpt-oss-20b-GGU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workbookViewId="0">
      <selection activeCell="D10" sqref="D10"/>
    </sheetView>
  </sheetViews>
  <sheetFormatPr defaultRowHeight="15" x14ac:dyDescent="0.25"/>
  <cols>
    <col min="1" max="1" width="12" customWidth="1"/>
    <col min="2" max="2" width="34.42578125" customWidth="1"/>
    <col min="3" max="3" width="17.7109375" customWidth="1"/>
    <col min="4" max="4" width="11.28515625" customWidth="1"/>
    <col min="5" max="5" width="42.140625" customWidth="1"/>
    <col min="6" max="6" width="18.42578125" style="1" customWidth="1"/>
    <col min="7" max="7" width="35.5703125" customWidth="1"/>
    <col min="8" max="8" width="50.42578125" customWidth="1"/>
    <col min="9" max="9" width="7.85546875" bestFit="1" customWidth="1"/>
    <col min="10" max="10" width="10.85546875" bestFit="1" customWidth="1"/>
    <col min="11" max="11" width="4.5703125" bestFit="1" customWidth="1"/>
  </cols>
  <sheetData>
    <row r="1" spans="1:11" ht="33.75" customHeight="1" x14ac:dyDescent="0.25">
      <c r="A1" s="12" t="s">
        <v>116</v>
      </c>
      <c r="B1" s="12"/>
      <c r="C1" s="12"/>
      <c r="D1" s="12"/>
      <c r="E1" s="12"/>
      <c r="F1" s="12"/>
      <c r="G1" s="12"/>
      <c r="H1" s="12"/>
      <c r="I1" s="12"/>
      <c r="J1" s="12"/>
      <c r="K1" s="12"/>
    </row>
    <row r="2" spans="1:11" ht="30" x14ac:dyDescent="0.25">
      <c r="A2" s="7" t="s">
        <v>106</v>
      </c>
      <c r="B2" s="7" t="s">
        <v>69</v>
      </c>
      <c r="C2" s="7" t="s">
        <v>97</v>
      </c>
      <c r="D2" s="7" t="s">
        <v>68</v>
      </c>
      <c r="E2" s="7" t="s">
        <v>98</v>
      </c>
      <c r="F2" s="7" t="s">
        <v>30</v>
      </c>
      <c r="G2" s="7" t="s">
        <v>15</v>
      </c>
      <c r="H2" s="7" t="s">
        <v>34</v>
      </c>
      <c r="I2" s="7" t="s">
        <v>104</v>
      </c>
      <c r="J2" s="7" t="s">
        <v>105</v>
      </c>
      <c r="K2" s="7" t="s">
        <v>70</v>
      </c>
    </row>
    <row r="3" spans="1:11" ht="30" x14ac:dyDescent="0.25">
      <c r="A3" s="3" t="s">
        <v>0</v>
      </c>
      <c r="B3" s="4" t="s">
        <v>71</v>
      </c>
      <c r="C3" s="3" t="s">
        <v>95</v>
      </c>
      <c r="D3" s="3">
        <v>1</v>
      </c>
      <c r="E3" s="3" t="s">
        <v>81</v>
      </c>
      <c r="F3" s="3" t="s">
        <v>31</v>
      </c>
      <c r="G3" s="3" t="s">
        <v>35</v>
      </c>
      <c r="H3" s="3" t="s">
        <v>37</v>
      </c>
      <c r="I3" s="3">
        <v>3837</v>
      </c>
      <c r="J3" s="3">
        <f>120+24</f>
        <v>144</v>
      </c>
      <c r="K3" s="11">
        <f>I3/J3</f>
        <v>26.645833333333332</v>
      </c>
    </row>
    <row r="4" spans="1:11" ht="45" x14ac:dyDescent="0.25">
      <c r="A4" s="3" t="s">
        <v>1</v>
      </c>
      <c r="B4" s="4" t="s">
        <v>67</v>
      </c>
      <c r="C4" s="3" t="s">
        <v>99</v>
      </c>
      <c r="D4" s="3">
        <v>1</v>
      </c>
      <c r="E4" s="3" t="s">
        <v>82</v>
      </c>
      <c r="F4" s="3" t="s">
        <v>32</v>
      </c>
      <c r="G4" s="3" t="s">
        <v>33</v>
      </c>
      <c r="H4" s="3" t="s">
        <v>38</v>
      </c>
      <c r="I4" s="3">
        <v>7157</v>
      </c>
      <c r="J4" s="3">
        <f>4*60+41</f>
        <v>281</v>
      </c>
      <c r="K4" s="11">
        <f t="shared" ref="K4:K10" si="0">I4/J4</f>
        <v>25.469750889679716</v>
      </c>
    </row>
    <row r="5" spans="1:11" ht="105" x14ac:dyDescent="0.25">
      <c r="A5" s="3" t="s">
        <v>2</v>
      </c>
      <c r="B5" s="4" t="s">
        <v>77</v>
      </c>
      <c r="C5" s="3" t="s">
        <v>102</v>
      </c>
      <c r="D5" s="3">
        <v>1</v>
      </c>
      <c r="E5" s="3" t="s">
        <v>87</v>
      </c>
      <c r="F5" s="3" t="s">
        <v>32</v>
      </c>
      <c r="G5" s="3" t="s">
        <v>36</v>
      </c>
      <c r="H5" s="3" t="s">
        <v>39</v>
      </c>
      <c r="I5" s="3">
        <v>6411</v>
      </c>
      <c r="J5" s="3">
        <f>5*60+56</f>
        <v>356</v>
      </c>
      <c r="K5" s="11">
        <f t="shared" si="0"/>
        <v>18.008426966292134</v>
      </c>
    </row>
    <row r="6" spans="1:11" ht="30" x14ac:dyDescent="0.25">
      <c r="A6" s="3" t="s">
        <v>3</v>
      </c>
      <c r="B6" s="4" t="s">
        <v>80</v>
      </c>
      <c r="C6" s="3" t="s">
        <v>103</v>
      </c>
      <c r="D6" s="3">
        <v>1</v>
      </c>
      <c r="E6" s="3" t="s">
        <v>86</v>
      </c>
      <c r="F6" s="3" t="s">
        <v>31</v>
      </c>
      <c r="G6" s="3" t="s">
        <v>35</v>
      </c>
      <c r="H6" s="3" t="s">
        <v>40</v>
      </c>
      <c r="I6" s="3">
        <v>4291</v>
      </c>
      <c r="J6" s="3">
        <f>120+33</f>
        <v>153</v>
      </c>
      <c r="K6" s="11">
        <f t="shared" si="0"/>
        <v>28.045751633986928</v>
      </c>
    </row>
    <row r="7" spans="1:11" ht="30" x14ac:dyDescent="0.25">
      <c r="A7" s="3" t="s">
        <v>4</v>
      </c>
      <c r="B7" s="4" t="s">
        <v>76</v>
      </c>
      <c r="C7" s="3" t="s">
        <v>95</v>
      </c>
      <c r="D7" s="3">
        <v>1</v>
      </c>
      <c r="E7" s="3" t="s">
        <v>86</v>
      </c>
      <c r="F7" s="3" t="s">
        <v>31</v>
      </c>
      <c r="G7" s="3" t="s">
        <v>33</v>
      </c>
      <c r="H7" s="3" t="s">
        <v>41</v>
      </c>
      <c r="I7" s="3">
        <v>4907</v>
      </c>
      <c r="J7" s="3">
        <f>186</f>
        <v>186</v>
      </c>
      <c r="K7" s="11">
        <f t="shared" si="0"/>
        <v>26.381720430107528</v>
      </c>
    </row>
    <row r="8" spans="1:11" ht="60" x14ac:dyDescent="0.25">
      <c r="A8" s="3" t="s">
        <v>5</v>
      </c>
      <c r="B8" s="4" t="s">
        <v>74</v>
      </c>
      <c r="C8" s="3" t="s">
        <v>100</v>
      </c>
      <c r="D8" s="3">
        <v>1</v>
      </c>
      <c r="E8" s="3" t="s">
        <v>83</v>
      </c>
      <c r="F8" s="3" t="s">
        <v>31</v>
      </c>
      <c r="G8" s="3" t="s">
        <v>33</v>
      </c>
      <c r="H8" s="3" t="s">
        <v>42</v>
      </c>
      <c r="I8" s="3">
        <v>5733</v>
      </c>
      <c r="J8" s="3">
        <f>180+39</f>
        <v>219</v>
      </c>
      <c r="K8" s="11">
        <f t="shared" si="0"/>
        <v>26.17808219178082</v>
      </c>
    </row>
    <row r="9" spans="1:11" ht="45" x14ac:dyDescent="0.25">
      <c r="A9" s="3" t="s">
        <v>6</v>
      </c>
      <c r="B9" s="4" t="s">
        <v>75</v>
      </c>
      <c r="C9" s="3" t="s">
        <v>101</v>
      </c>
      <c r="D9" s="3">
        <v>1</v>
      </c>
      <c r="E9" s="3" t="s">
        <v>84</v>
      </c>
      <c r="F9" s="3" t="s">
        <v>43</v>
      </c>
      <c r="G9" s="3" t="s">
        <v>33</v>
      </c>
      <c r="H9" s="3" t="s">
        <v>44</v>
      </c>
      <c r="I9" s="3">
        <v>6236</v>
      </c>
      <c r="J9" s="3">
        <f>120+35</f>
        <v>155</v>
      </c>
      <c r="K9" s="11">
        <f t="shared" si="0"/>
        <v>40.232258064516131</v>
      </c>
    </row>
    <row r="10" spans="1:11" ht="45" x14ac:dyDescent="0.25">
      <c r="A10" s="3" t="s">
        <v>7</v>
      </c>
      <c r="B10" s="4" t="s">
        <v>73</v>
      </c>
      <c r="C10" s="3" t="s">
        <v>95</v>
      </c>
      <c r="D10" s="3">
        <v>1</v>
      </c>
      <c r="E10" s="3" t="s">
        <v>85</v>
      </c>
      <c r="F10" s="3" t="s">
        <v>31</v>
      </c>
      <c r="G10" s="3" t="s">
        <v>33</v>
      </c>
      <c r="H10" s="3" t="s">
        <v>45</v>
      </c>
      <c r="I10" s="3">
        <v>5436</v>
      </c>
      <c r="J10" s="3">
        <f>180+22</f>
        <v>202</v>
      </c>
      <c r="K10" s="11">
        <f t="shared" si="0"/>
        <v>26.910891089108912</v>
      </c>
    </row>
    <row r="11" spans="1:11" ht="45" x14ac:dyDescent="0.25">
      <c r="A11" s="3" t="s">
        <v>93</v>
      </c>
      <c r="B11" s="4" t="s">
        <v>94</v>
      </c>
      <c r="C11" s="3" t="s">
        <v>96</v>
      </c>
      <c r="D11" s="3">
        <v>1</v>
      </c>
      <c r="E11" s="3" t="s">
        <v>113</v>
      </c>
      <c r="F11" s="3" t="s">
        <v>31</v>
      </c>
      <c r="G11" s="3" t="s">
        <v>114</v>
      </c>
      <c r="H11" s="3" t="s">
        <v>115</v>
      </c>
      <c r="I11" s="3">
        <v>2664</v>
      </c>
      <c r="J11" s="3">
        <f>120+41</f>
        <v>161</v>
      </c>
      <c r="K11" s="11">
        <f>I11/J11</f>
        <v>16.546583850931675</v>
      </c>
    </row>
  </sheetData>
  <mergeCells count="1">
    <mergeCell ref="A1:K1"/>
  </mergeCells>
  <hyperlinks>
    <hyperlink ref="B4" r:id="rId1" xr:uid="{00000000-0004-0000-0100-000000000000}"/>
    <hyperlink ref="B3" r:id="rId2" xr:uid="{00000000-0004-0000-0100-000001000000}"/>
    <hyperlink ref="B10" r:id="rId3" xr:uid="{00000000-0004-0000-0100-000002000000}"/>
    <hyperlink ref="B8" r:id="rId4" xr:uid="{00000000-0004-0000-0100-000003000000}"/>
    <hyperlink ref="B9" r:id="rId5" xr:uid="{00000000-0004-0000-0100-000004000000}"/>
    <hyperlink ref="B7" r:id="rId6" xr:uid="{00000000-0004-0000-0100-000005000000}"/>
    <hyperlink ref="B5" r:id="rId7" xr:uid="{00000000-0004-0000-0100-000006000000}"/>
    <hyperlink ref="B6" r:id="rId8" xr:uid="{00000000-0004-0000-0100-000007000000}"/>
    <hyperlink ref="B11" r:id="rId9" xr:uid="{00000000-0004-0000-0100-000008000000}"/>
  </hyperlinks>
  <pageMargins left="0.25" right="0.25" top="0.75" bottom="0.75" header="0.3" footer="0.3"/>
  <pageSetup paperSize="9" orientation="landscape"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topLeftCell="A4" workbookViewId="0">
      <selection activeCell="A11" sqref="A11:XFD11"/>
    </sheetView>
  </sheetViews>
  <sheetFormatPr defaultRowHeight="15" x14ac:dyDescent="0.25"/>
  <cols>
    <col min="1" max="1" width="9.5703125" bestFit="1" customWidth="1"/>
    <col min="2" max="2" width="39.5703125" customWidth="1"/>
    <col min="3" max="3" width="16.42578125" bestFit="1" customWidth="1"/>
    <col min="4" max="4" width="9.28515625" bestFit="1" customWidth="1"/>
    <col min="5" max="5" width="39.140625" customWidth="1"/>
    <col min="6" max="6" width="15.85546875" bestFit="1" customWidth="1"/>
    <col min="7" max="7" width="14.85546875" bestFit="1" customWidth="1"/>
    <col min="8" max="8" width="22.85546875" bestFit="1" customWidth="1"/>
    <col min="9" max="9" width="44" customWidth="1"/>
    <col min="10" max="10" width="39.140625" customWidth="1"/>
    <col min="11" max="11" width="7.85546875" bestFit="1" customWidth="1"/>
    <col min="12" max="12" width="10.85546875" bestFit="1" customWidth="1"/>
    <col min="13" max="13" width="4.5703125" bestFit="1" customWidth="1"/>
  </cols>
  <sheetData>
    <row r="1" spans="1:13" ht="261" customHeight="1" x14ac:dyDescent="0.25">
      <c r="A1" s="12" t="s">
        <v>118</v>
      </c>
      <c r="B1" s="12"/>
      <c r="C1" s="12"/>
      <c r="D1" s="12"/>
      <c r="E1" s="12"/>
      <c r="F1" s="12"/>
      <c r="G1" s="12"/>
      <c r="H1" s="12"/>
      <c r="I1" s="12"/>
      <c r="J1" s="12"/>
      <c r="K1" s="12"/>
      <c r="L1" s="12"/>
      <c r="M1" s="12"/>
    </row>
    <row r="2" spans="1:13" ht="30" x14ac:dyDescent="0.25">
      <c r="A2" s="6" t="s">
        <v>106</v>
      </c>
      <c r="B2" s="7" t="s">
        <v>69</v>
      </c>
      <c r="C2" s="7" t="s">
        <v>97</v>
      </c>
      <c r="D2" s="7" t="s">
        <v>68</v>
      </c>
      <c r="E2" s="7" t="s">
        <v>98</v>
      </c>
      <c r="F2" s="6" t="s">
        <v>8</v>
      </c>
      <c r="G2" s="7" t="s">
        <v>9</v>
      </c>
      <c r="H2" s="7" t="s">
        <v>15</v>
      </c>
      <c r="I2" s="7" t="s">
        <v>34</v>
      </c>
      <c r="J2" s="7" t="s">
        <v>11</v>
      </c>
      <c r="K2" s="7" t="s">
        <v>104</v>
      </c>
      <c r="L2" s="7" t="s">
        <v>105</v>
      </c>
      <c r="M2" s="7" t="s">
        <v>70</v>
      </c>
    </row>
    <row r="3" spans="1:13" ht="60" x14ac:dyDescent="0.25">
      <c r="A3" s="2" t="s">
        <v>0</v>
      </c>
      <c r="B3" s="4" t="s">
        <v>71</v>
      </c>
      <c r="C3" s="3" t="s">
        <v>95</v>
      </c>
      <c r="D3" s="3">
        <v>2</v>
      </c>
      <c r="E3" s="3" t="s">
        <v>72</v>
      </c>
      <c r="F3" s="2">
        <v>4</v>
      </c>
      <c r="G3" s="3">
        <v>3</v>
      </c>
      <c r="H3" s="3" t="s">
        <v>16</v>
      </c>
      <c r="I3" s="3" t="s">
        <v>10</v>
      </c>
      <c r="J3" s="3" t="s">
        <v>13</v>
      </c>
      <c r="K3" s="8">
        <f>6001 + 8844</f>
        <v>14845</v>
      </c>
      <c r="L3" s="2">
        <v>577</v>
      </c>
      <c r="M3" s="5">
        <f>K3/L3</f>
        <v>25.727902946273829</v>
      </c>
    </row>
    <row r="4" spans="1:13" ht="60" x14ac:dyDescent="0.25">
      <c r="A4" s="2" t="s">
        <v>1</v>
      </c>
      <c r="B4" s="4" t="s">
        <v>67</v>
      </c>
      <c r="C4" s="3" t="s">
        <v>99</v>
      </c>
      <c r="D4" s="3">
        <v>2</v>
      </c>
      <c r="E4" s="3" t="s">
        <v>79</v>
      </c>
      <c r="F4" s="2">
        <v>4</v>
      </c>
      <c r="G4" s="3">
        <v>4</v>
      </c>
      <c r="H4" s="3" t="s">
        <v>18</v>
      </c>
      <c r="I4" s="3" t="s">
        <v>12</v>
      </c>
      <c r="J4" s="3" t="s">
        <v>14</v>
      </c>
      <c r="K4" s="9">
        <f>6357 + 12888</f>
        <v>19245</v>
      </c>
      <c r="L4" s="2">
        <v>726</v>
      </c>
      <c r="M4" s="5">
        <f t="shared" ref="M4:M10" si="0">K4/L4</f>
        <v>26.508264462809919</v>
      </c>
    </row>
    <row r="5" spans="1:13" ht="105" x14ac:dyDescent="0.25">
      <c r="A5" s="2" t="s">
        <v>2</v>
      </c>
      <c r="B5" s="4" t="s">
        <v>77</v>
      </c>
      <c r="C5" s="3" t="s">
        <v>102</v>
      </c>
      <c r="D5" s="3">
        <v>2</v>
      </c>
      <c r="E5" s="3" t="s">
        <v>78</v>
      </c>
      <c r="F5" s="2">
        <v>4</v>
      </c>
      <c r="G5" s="3">
        <v>4</v>
      </c>
      <c r="H5" s="3" t="s">
        <v>27</v>
      </c>
      <c r="I5" s="3" t="s">
        <v>21</v>
      </c>
      <c r="J5" s="3" t="s">
        <v>17</v>
      </c>
      <c r="K5" s="8">
        <f>5625+6574</f>
        <v>12199</v>
      </c>
      <c r="L5" s="2">
        <v>662</v>
      </c>
      <c r="M5" s="5">
        <f t="shared" si="0"/>
        <v>18.427492447129911</v>
      </c>
    </row>
    <row r="6" spans="1:13" ht="30" x14ac:dyDescent="0.25">
      <c r="A6" s="2" t="s">
        <v>3</v>
      </c>
      <c r="B6" s="4" t="s">
        <v>80</v>
      </c>
      <c r="C6" s="3" t="s">
        <v>103</v>
      </c>
      <c r="D6" s="3">
        <v>1</v>
      </c>
      <c r="E6" s="3"/>
      <c r="F6" s="2">
        <v>5</v>
      </c>
      <c r="G6" s="3">
        <v>5</v>
      </c>
      <c r="H6" s="3" t="s">
        <v>19</v>
      </c>
      <c r="I6" s="3"/>
      <c r="J6" s="3" t="s">
        <v>20</v>
      </c>
      <c r="K6" s="8">
        <v>6369</v>
      </c>
      <c r="L6" s="2">
        <f>180+50</f>
        <v>230</v>
      </c>
      <c r="M6" s="5">
        <f t="shared" si="0"/>
        <v>27.691304347826087</v>
      </c>
    </row>
    <row r="7" spans="1:13" ht="30" x14ac:dyDescent="0.25">
      <c r="A7" s="2" t="s">
        <v>4</v>
      </c>
      <c r="B7" s="4" t="s">
        <v>76</v>
      </c>
      <c r="C7" s="3" t="s">
        <v>95</v>
      </c>
      <c r="D7" s="3">
        <v>1</v>
      </c>
      <c r="E7" s="3"/>
      <c r="F7" s="2" t="s">
        <v>22</v>
      </c>
      <c r="G7" s="3">
        <v>5</v>
      </c>
      <c r="H7" s="3" t="s">
        <v>19</v>
      </c>
      <c r="I7" s="3" t="s">
        <v>24</v>
      </c>
      <c r="J7" s="3" t="s">
        <v>20</v>
      </c>
      <c r="K7" s="8">
        <v>5766</v>
      </c>
      <c r="L7" s="2">
        <v>213</v>
      </c>
      <c r="M7" s="5">
        <f t="shared" si="0"/>
        <v>27.070422535211268</v>
      </c>
    </row>
    <row r="8" spans="1:13" ht="30" x14ac:dyDescent="0.25">
      <c r="A8" s="2" t="s">
        <v>5</v>
      </c>
      <c r="B8" s="4" t="s">
        <v>74</v>
      </c>
      <c r="C8" s="3" t="s">
        <v>100</v>
      </c>
      <c r="D8" s="3">
        <v>1</v>
      </c>
      <c r="E8" s="3"/>
      <c r="F8" s="2" t="s">
        <v>23</v>
      </c>
      <c r="G8" s="3">
        <v>4</v>
      </c>
      <c r="H8" s="3" t="s">
        <v>19</v>
      </c>
      <c r="I8" s="3" t="s">
        <v>25</v>
      </c>
      <c r="J8" s="3" t="s">
        <v>26</v>
      </c>
      <c r="K8" s="8">
        <v>6039</v>
      </c>
      <c r="L8" s="2">
        <v>223</v>
      </c>
      <c r="M8" s="5">
        <f t="shared" si="0"/>
        <v>27.080717488789237</v>
      </c>
    </row>
    <row r="9" spans="1:13" ht="30" x14ac:dyDescent="0.25">
      <c r="A9" s="2" t="s">
        <v>6</v>
      </c>
      <c r="B9" s="4" t="s">
        <v>75</v>
      </c>
      <c r="C9" s="3" t="s">
        <v>101</v>
      </c>
      <c r="D9" s="3">
        <v>1</v>
      </c>
      <c r="E9" s="3"/>
      <c r="F9" s="2" t="s">
        <v>22</v>
      </c>
      <c r="G9" s="3">
        <v>5</v>
      </c>
      <c r="H9" s="3" t="s">
        <v>19</v>
      </c>
      <c r="I9" s="3" t="s">
        <v>29</v>
      </c>
      <c r="J9" s="3" t="s">
        <v>20</v>
      </c>
      <c r="K9" s="10">
        <v>6789</v>
      </c>
      <c r="L9" s="2">
        <v>180</v>
      </c>
      <c r="M9" s="5">
        <f t="shared" si="0"/>
        <v>37.716666666666669</v>
      </c>
    </row>
    <row r="10" spans="1:13" ht="30" x14ac:dyDescent="0.25">
      <c r="A10" s="2" t="s">
        <v>7</v>
      </c>
      <c r="B10" s="4" t="s">
        <v>73</v>
      </c>
      <c r="C10" s="3" t="s">
        <v>95</v>
      </c>
      <c r="D10" s="3">
        <v>1</v>
      </c>
      <c r="E10" s="3"/>
      <c r="F10" s="2">
        <v>5</v>
      </c>
      <c r="G10" s="3">
        <v>5</v>
      </c>
      <c r="H10" s="3" t="s">
        <v>19</v>
      </c>
      <c r="I10" s="3" t="s">
        <v>28</v>
      </c>
      <c r="J10" s="3" t="s">
        <v>20</v>
      </c>
      <c r="K10" s="8">
        <v>5539</v>
      </c>
      <c r="L10" s="2">
        <v>207</v>
      </c>
      <c r="M10" s="5">
        <f t="shared" si="0"/>
        <v>26.758454106280194</v>
      </c>
    </row>
    <row r="11" spans="1:13" ht="90" x14ac:dyDescent="0.25">
      <c r="A11" s="2" t="s">
        <v>93</v>
      </c>
      <c r="B11" s="4" t="s">
        <v>94</v>
      </c>
      <c r="C11" s="3" t="s">
        <v>96</v>
      </c>
      <c r="D11" s="3">
        <v>2</v>
      </c>
      <c r="E11" s="3" t="s">
        <v>112</v>
      </c>
      <c r="F11" s="2">
        <v>4</v>
      </c>
      <c r="G11" s="3">
        <v>3</v>
      </c>
      <c r="H11" s="3" t="s">
        <v>110</v>
      </c>
      <c r="I11" s="3" t="s">
        <v>28</v>
      </c>
      <c r="J11" s="3" t="s">
        <v>111</v>
      </c>
      <c r="K11" s="2">
        <v>2966</v>
      </c>
      <c r="L11" s="2">
        <f>120+55</f>
        <v>175</v>
      </c>
      <c r="M11" s="5">
        <f>K11/L11</f>
        <v>16.94857142857143</v>
      </c>
    </row>
  </sheetData>
  <mergeCells count="1">
    <mergeCell ref="A1:M1"/>
  </mergeCells>
  <hyperlinks>
    <hyperlink ref="B4" r:id="rId1" xr:uid="{00000000-0004-0000-0200-000000000000}"/>
    <hyperlink ref="B3" r:id="rId2" xr:uid="{00000000-0004-0000-0200-000001000000}"/>
    <hyperlink ref="B10" r:id="rId3" xr:uid="{00000000-0004-0000-0200-000002000000}"/>
    <hyperlink ref="B8" r:id="rId4" xr:uid="{00000000-0004-0000-0200-000003000000}"/>
    <hyperlink ref="B9" r:id="rId5" xr:uid="{00000000-0004-0000-0200-000004000000}"/>
    <hyperlink ref="B7" r:id="rId6" xr:uid="{00000000-0004-0000-0200-000005000000}"/>
    <hyperlink ref="B5" r:id="rId7" xr:uid="{00000000-0004-0000-0200-000006000000}"/>
    <hyperlink ref="B6" r:id="rId8" xr:uid="{00000000-0004-0000-0200-000007000000}"/>
    <hyperlink ref="B11" r:id="rId9" xr:uid="{00000000-0004-0000-02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A5" sqref="A5"/>
    </sheetView>
  </sheetViews>
  <sheetFormatPr defaultRowHeight="15" x14ac:dyDescent="0.25"/>
  <cols>
    <col min="1" max="1" width="12" customWidth="1"/>
    <col min="2" max="2" width="32.42578125" customWidth="1"/>
    <col min="3" max="3" width="23" customWidth="1"/>
    <col min="4" max="4" width="9.28515625" style="1" bestFit="1" customWidth="1"/>
    <col min="5" max="5" width="44.7109375" customWidth="1"/>
    <col min="6" max="6" width="23.42578125" customWidth="1"/>
    <col min="7" max="7" width="48.85546875" customWidth="1"/>
    <col min="8" max="8" width="66.28515625" customWidth="1"/>
    <col min="9" max="9" width="7.85546875" bestFit="1" customWidth="1"/>
    <col min="10" max="10" width="12.7109375" customWidth="1"/>
    <col min="11" max="11" width="12.28515625" customWidth="1"/>
  </cols>
  <sheetData>
    <row r="1" spans="1:11" ht="33" customHeight="1" x14ac:dyDescent="0.25">
      <c r="A1" s="12" t="s">
        <v>117</v>
      </c>
      <c r="B1" s="13"/>
      <c r="C1" s="13"/>
      <c r="D1" s="13"/>
      <c r="E1" s="13"/>
      <c r="F1" s="13"/>
      <c r="G1" s="13"/>
    </row>
    <row r="2" spans="1:11" ht="30" x14ac:dyDescent="0.25">
      <c r="A2" s="6" t="s">
        <v>106</v>
      </c>
      <c r="B2" s="7" t="s">
        <v>69</v>
      </c>
      <c r="C2" s="7" t="s">
        <v>97</v>
      </c>
      <c r="D2" s="7" t="s">
        <v>68</v>
      </c>
      <c r="E2" s="7" t="s">
        <v>98</v>
      </c>
      <c r="F2" s="6" t="s">
        <v>30</v>
      </c>
      <c r="G2" s="7" t="s">
        <v>15</v>
      </c>
      <c r="H2" s="7" t="s">
        <v>34</v>
      </c>
      <c r="I2" s="7" t="s">
        <v>104</v>
      </c>
      <c r="J2" s="7" t="s">
        <v>105</v>
      </c>
      <c r="K2" s="7" t="s">
        <v>70</v>
      </c>
    </row>
    <row r="3" spans="1:11" ht="30" x14ac:dyDescent="0.25">
      <c r="A3" s="2" t="s">
        <v>0</v>
      </c>
      <c r="B3" s="4" t="s">
        <v>71</v>
      </c>
      <c r="C3" s="3" t="s">
        <v>95</v>
      </c>
      <c r="D3" s="3">
        <v>1</v>
      </c>
      <c r="E3" s="3"/>
      <c r="F3" s="2" t="s">
        <v>46</v>
      </c>
      <c r="G3" s="3" t="s">
        <v>62</v>
      </c>
      <c r="H3" s="3" t="s">
        <v>52</v>
      </c>
      <c r="I3" s="3">
        <v>7191</v>
      </c>
      <c r="J3" s="3">
        <f>4*60+29</f>
        <v>269</v>
      </c>
      <c r="K3" s="5">
        <f>I3/J3</f>
        <v>26.732342007434944</v>
      </c>
    </row>
    <row r="4" spans="1:11" ht="30" x14ac:dyDescent="0.25">
      <c r="A4" s="2" t="s">
        <v>1</v>
      </c>
      <c r="B4" s="4" t="s">
        <v>67</v>
      </c>
      <c r="C4" s="3" t="s">
        <v>99</v>
      </c>
      <c r="D4" s="3">
        <v>1</v>
      </c>
      <c r="E4" s="3"/>
      <c r="F4" s="2" t="s">
        <v>47</v>
      </c>
      <c r="G4" s="3" t="s">
        <v>48</v>
      </c>
      <c r="H4" s="3" t="s">
        <v>49</v>
      </c>
      <c r="I4" s="3">
        <v>7417</v>
      </c>
      <c r="J4" s="3">
        <f>4*60+47</f>
        <v>287</v>
      </c>
      <c r="K4" s="5">
        <f t="shared" ref="K4:K11" si="0">I4/J4</f>
        <v>25.843205574912893</v>
      </c>
    </row>
    <row r="5" spans="1:11" ht="60" x14ac:dyDescent="0.25">
      <c r="A5" s="2" t="s">
        <v>2</v>
      </c>
      <c r="B5" s="4" t="s">
        <v>77</v>
      </c>
      <c r="C5" s="3" t="s">
        <v>102</v>
      </c>
      <c r="D5" s="3">
        <v>1</v>
      </c>
      <c r="E5" s="3" t="s">
        <v>88</v>
      </c>
      <c r="F5" s="2" t="s">
        <v>50</v>
      </c>
      <c r="G5" s="3" t="s">
        <v>54</v>
      </c>
      <c r="H5" s="3" t="s">
        <v>51</v>
      </c>
      <c r="I5" s="3">
        <v>8826</v>
      </c>
      <c r="J5" s="3">
        <f>7*60+59</f>
        <v>479</v>
      </c>
      <c r="K5" s="5">
        <f t="shared" si="0"/>
        <v>18.4258872651357</v>
      </c>
    </row>
    <row r="6" spans="1:11" ht="90" x14ac:dyDescent="0.25">
      <c r="A6" s="2" t="s">
        <v>3</v>
      </c>
      <c r="B6" s="4" t="s">
        <v>80</v>
      </c>
      <c r="C6" s="3" t="s">
        <v>103</v>
      </c>
      <c r="D6" s="3">
        <v>2</v>
      </c>
      <c r="E6" s="3" t="s">
        <v>89</v>
      </c>
      <c r="F6" s="2" t="s">
        <v>47</v>
      </c>
      <c r="G6" s="3" t="s">
        <v>61</v>
      </c>
      <c r="H6" s="3" t="s">
        <v>53</v>
      </c>
      <c r="I6" s="3">
        <f>5959+10079</f>
        <v>16038</v>
      </c>
      <c r="J6" s="3">
        <f>300+180+22+58</f>
        <v>560</v>
      </c>
      <c r="K6" s="5">
        <f t="shared" si="0"/>
        <v>28.639285714285716</v>
      </c>
    </row>
    <row r="7" spans="1:11" ht="45" x14ac:dyDescent="0.25">
      <c r="A7" s="2" t="s">
        <v>4</v>
      </c>
      <c r="B7" s="4" t="s">
        <v>76</v>
      </c>
      <c r="C7" s="3" t="s">
        <v>95</v>
      </c>
      <c r="D7" s="3">
        <v>3</v>
      </c>
      <c r="E7" s="3" t="s">
        <v>90</v>
      </c>
      <c r="F7" s="2" t="s">
        <v>47</v>
      </c>
      <c r="G7" s="3" t="s">
        <v>55</v>
      </c>
      <c r="H7" s="3" t="s">
        <v>59</v>
      </c>
      <c r="I7" s="3">
        <v>9851</v>
      </c>
      <c r="J7" s="3">
        <f>6*60+20</f>
        <v>380</v>
      </c>
      <c r="K7" s="5">
        <f t="shared" si="0"/>
        <v>25.923684210526314</v>
      </c>
    </row>
    <row r="8" spans="1:11" ht="60" x14ac:dyDescent="0.25">
      <c r="A8" s="2" t="s">
        <v>5</v>
      </c>
      <c r="B8" s="4" t="s">
        <v>74</v>
      </c>
      <c r="C8" s="3" t="s">
        <v>100</v>
      </c>
      <c r="D8" s="3">
        <v>1</v>
      </c>
      <c r="E8" s="3" t="s">
        <v>91</v>
      </c>
      <c r="F8" s="2" t="s">
        <v>56</v>
      </c>
      <c r="G8" s="3" t="s">
        <v>58</v>
      </c>
      <c r="H8" s="3" t="s">
        <v>57</v>
      </c>
      <c r="I8" s="3">
        <v>21324</v>
      </c>
      <c r="J8" s="3">
        <f>13*60+55</f>
        <v>835</v>
      </c>
      <c r="K8" s="5">
        <f t="shared" si="0"/>
        <v>25.537724550898204</v>
      </c>
    </row>
    <row r="9" spans="1:11" ht="60" x14ac:dyDescent="0.25">
      <c r="A9" s="2" t="s">
        <v>6</v>
      </c>
      <c r="B9" s="4" t="s">
        <v>75</v>
      </c>
      <c r="C9" s="3" t="s">
        <v>101</v>
      </c>
      <c r="D9" s="3">
        <v>1</v>
      </c>
      <c r="E9" s="3"/>
      <c r="F9" s="2" t="s">
        <v>47</v>
      </c>
      <c r="G9" s="3" t="s">
        <v>60</v>
      </c>
      <c r="H9" s="3" t="s">
        <v>63</v>
      </c>
      <c r="I9" s="3">
        <v>10973</v>
      </c>
      <c r="J9" s="3">
        <f>4*60+51</f>
        <v>291</v>
      </c>
      <c r="K9" s="5">
        <f t="shared" si="0"/>
        <v>37.707903780068726</v>
      </c>
    </row>
    <row r="10" spans="1:11" ht="135" x14ac:dyDescent="0.25">
      <c r="A10" s="2" t="s">
        <v>7</v>
      </c>
      <c r="B10" s="4" t="s">
        <v>73</v>
      </c>
      <c r="C10" s="3" t="s">
        <v>95</v>
      </c>
      <c r="D10" s="3">
        <v>1</v>
      </c>
      <c r="E10" s="3" t="s">
        <v>92</v>
      </c>
      <c r="F10" s="2" t="s">
        <v>64</v>
      </c>
      <c r="G10" s="3" t="s">
        <v>65</v>
      </c>
      <c r="H10" s="3" t="s">
        <v>66</v>
      </c>
      <c r="I10" s="3">
        <v>13577</v>
      </c>
      <c r="J10" s="3">
        <f>8*60+39</f>
        <v>519</v>
      </c>
      <c r="K10" s="5">
        <f t="shared" si="0"/>
        <v>26.159922928709054</v>
      </c>
    </row>
    <row r="11" spans="1:11" ht="60" x14ac:dyDescent="0.25">
      <c r="A11" s="2" t="s">
        <v>93</v>
      </c>
      <c r="B11" s="4" t="s">
        <v>94</v>
      </c>
      <c r="C11" s="3" t="s">
        <v>96</v>
      </c>
      <c r="D11" s="3">
        <v>2</v>
      </c>
      <c r="E11" s="3" t="s">
        <v>108</v>
      </c>
      <c r="F11" s="2" t="s">
        <v>31</v>
      </c>
      <c r="G11" s="3" t="s">
        <v>107</v>
      </c>
      <c r="H11" s="3" t="s">
        <v>109</v>
      </c>
      <c r="I11" s="3">
        <v>3066</v>
      </c>
      <c r="J11" s="3">
        <v>186</v>
      </c>
      <c r="K11" s="5">
        <f t="shared" si="0"/>
        <v>16.483870967741936</v>
      </c>
    </row>
  </sheetData>
  <mergeCells count="1">
    <mergeCell ref="A1:G1"/>
  </mergeCells>
  <hyperlinks>
    <hyperlink ref="B4" r:id="rId1" xr:uid="{00000000-0004-0000-0300-000000000000}"/>
    <hyperlink ref="B3" r:id="rId2" xr:uid="{00000000-0004-0000-0300-000001000000}"/>
    <hyperlink ref="B10" r:id="rId3" xr:uid="{00000000-0004-0000-0300-000002000000}"/>
    <hyperlink ref="B8" r:id="rId4" xr:uid="{00000000-0004-0000-0300-000003000000}"/>
    <hyperlink ref="B9" r:id="rId5" xr:uid="{00000000-0004-0000-0300-000004000000}"/>
    <hyperlink ref="B7" r:id="rId6" xr:uid="{00000000-0004-0000-0300-000005000000}"/>
    <hyperlink ref="B5" r:id="rId7" xr:uid="{00000000-0004-0000-0300-000006000000}"/>
    <hyperlink ref="B6" r:id="rId8" xr:uid="{00000000-0004-0000-0300-000007000000}"/>
    <hyperlink ref="B11" r:id="rId9" xr:uid="{00000000-0004-0000-03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tetris</vt:lpstr>
      <vt:lpstr>MM</vt:lpstr>
      <vt:lpstr>Танки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2026-08-08T21:26:11Z</dcterms:modified>
</cp:coreProperties>
</file>